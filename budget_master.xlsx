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Roth IRA Tracker" sheetId="3" state="visible" r:id="rId3"/>
    <sheet xmlns:r="http://schemas.openxmlformats.org/officeDocument/2006/relationships" name="Credit Card Payoff" sheetId="4" state="visible" r:id="rId4"/>
    <sheet xmlns:r="http://schemas.openxmlformats.org/officeDocument/2006/relationships" name="Work Expenses" sheetId="5" state="visible" r:id="rId5"/>
    <sheet xmlns:r="http://schemas.openxmlformats.org/officeDocument/2006/relationships" name="Emergency Fund" sheetId="6" state="visible" r:id="rId6"/>
    <sheet xmlns:r="http://schemas.openxmlformats.org/officeDocument/2006/relationships" name="Paycheck Tracker" sheetId="7" state="visible" r:id="rId7"/>
    <sheet xmlns:r="http://schemas.openxmlformats.org/officeDocument/2006/relationships" name="Money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MMM YYYY"/>
    <numFmt numFmtId="167" formatCode="MM/DD/YYYY"/>
  </numFmts>
  <fonts count="11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sz val="14"/>
    </font>
    <font>
      <b val="1"/>
      <color rgb="00FFFFFF"/>
      <sz val="12"/>
    </font>
    <font>
      <b val="1"/>
    </font>
    <font>
      <b val="1"/>
      <color rgb="00228B22"/>
      <sz val="14"/>
    </font>
    <font>
      <i val="1"/>
      <color rgb="00666666"/>
    </font>
    <font>
      <b val="1"/>
      <sz val="12"/>
    </font>
    <font>
      <b val="1"/>
      <color rgb="00228B22"/>
      <sz val="12"/>
    </font>
    <font>
      <i val="1"/>
      <color rgb="00CC0000"/>
    </font>
    <font>
      <color rgb="00AAAAAA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pivotButton="0" quotePrefix="0" xfId="0"/>
    <xf numFmtId="0" fontId="0" fillId="0" borderId="1" pivotButton="0" quotePrefix="0" xfId="0"/>
    <xf numFmtId="0" fontId="8" fillId="0" borderId="0" pivotButton="0" quotePrefix="0" xfId="0"/>
    <xf numFmtId="164" fontId="7" fillId="3" borderId="1" applyAlignment="1" pivotButton="0" quotePrefix="0" xfId="0">
      <alignment horizontal="right" vertical="center"/>
    </xf>
    <xf numFmtId="0" fontId="7" fillId="0" borderId="0" pivotButton="0" quotePrefix="0" xfId="0"/>
    <xf numFmtId="164" fontId="0" fillId="5" borderId="1" applyAlignment="1" pivotButton="0" quotePrefix="0" xfId="0">
      <alignment horizontal="right" vertical="center"/>
    </xf>
    <xf numFmtId="166" fontId="0" fillId="0" borderId="0" pivotButton="0" quotePrefix="0" xfId="0"/>
    <xf numFmtId="167" fontId="0" fillId="0" borderId="0" pivotButton="0" quotePrefix="0" xfId="0"/>
    <xf numFmtId="164" fontId="0" fillId="0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0" customWidth="1" min="6" max="6"/>
    <col width="15" customWidth="1" min="7" max="7"/>
    <col width="25" customWidth="1" min="8" max="8"/>
  </cols>
  <sheetData>
    <row r="1">
      <c r="A1" s="1" t="inlineStr">
        <is>
          <t>💰 BUDGET DASHBOARD - Joshua's Financial Command Center</t>
        </is>
      </c>
    </row>
    <row r="3">
      <c r="A3" s="2" t="inlineStr">
        <is>
          <t>INCOME SUMMARY</t>
        </is>
      </c>
      <c r="F3" s="2" t="inlineStr">
        <is>
          <t>KEY STATS</t>
        </is>
      </c>
    </row>
    <row r="4">
      <c r="A4" s="3" t="inlineStr">
        <is>
          <t>Category</t>
        </is>
      </c>
      <c r="B4" s="3" t="inlineStr">
        <is>
          <t>Annual</t>
        </is>
      </c>
      <c r="C4" s="3" t="inlineStr">
        <is>
          <t>Monthly</t>
        </is>
      </c>
      <c r="D4" s="3" t="inlineStr">
        <is>
          <t>Per Paycheck</t>
        </is>
      </c>
      <c r="F4" s="4" t="inlineStr">
        <is>
          <t>Total Retirement Savings/Year</t>
        </is>
      </c>
      <c r="G4" s="5">
        <f>D10+D11+D20</f>
        <v/>
      </c>
      <c r="H4" s="6" t="inlineStr">
        <is>
          <t>(401k + HSA + Employer)</t>
        </is>
      </c>
    </row>
    <row r="5">
      <c r="A5" s="7" t="inlineStr">
        <is>
          <t>Gross Salary</t>
        </is>
      </c>
      <c r="B5" s="5" t="n">
        <v>76000</v>
      </c>
      <c r="C5" s="5">
        <f>B5/12</f>
        <v/>
      </c>
      <c r="D5" s="5">
        <f>B5/26</f>
        <v/>
      </c>
      <c r="F5" s="4" t="inlineStr">
        <is>
          <t>Retirement % of Gross</t>
        </is>
      </c>
      <c r="G5" s="8">
        <f>F4/76000</f>
        <v/>
      </c>
      <c r="H5" s="6" t="inlineStr"/>
    </row>
    <row r="6">
      <c r="A6" s="7" t="inlineStr">
        <is>
          <t>Net Pay (After Deductions)</t>
        </is>
      </c>
      <c r="B6" s="5">
        <f>C6*12</f>
        <v/>
      </c>
      <c r="C6" s="5" t="n">
        <v>4160</v>
      </c>
      <c r="D6" s="5" t="n">
        <v>1920</v>
      </c>
      <c r="F6" s="4" t="inlineStr">
        <is>
          <t>Effective Tax Rate</t>
        </is>
      </c>
      <c r="G6" s="8">
        <f>(D12+D14)/76000</f>
        <v/>
      </c>
      <c r="H6" s="6" t="inlineStr"/>
    </row>
    <row r="7">
      <c r="F7" s="4" t="inlineStr">
        <is>
          <t>Take-Home Rate</t>
        </is>
      </c>
      <c r="G7" s="8">
        <f>C6*12/76000</f>
        <v/>
      </c>
      <c r="H7" s="6" t="inlineStr"/>
    </row>
    <row r="8">
      <c r="A8" s="2" t="inlineStr">
        <is>
          <t>AUTOMATIC PAYCHECK DEDUCTIONS (Already Deducted)</t>
        </is>
      </c>
    </row>
    <row r="9">
      <c r="A9" s="3" t="inlineStr">
        <is>
          <t>Deduction</t>
        </is>
      </c>
      <c r="B9" s="3" t="inlineStr">
        <is>
          <t>Per Paycheck</t>
        </is>
      </c>
      <c r="C9" s="3" t="inlineStr">
        <is>
          <t>Monthly</t>
        </is>
      </c>
      <c r="D9" s="3" t="inlineStr">
        <is>
          <t>Annual</t>
        </is>
      </c>
    </row>
    <row r="10">
      <c r="A10" s="7" t="inlineStr">
        <is>
          <t>Roth 401(k) - Your 8%</t>
        </is>
      </c>
      <c r="B10" s="5" t="n">
        <v>253.33</v>
      </c>
      <c r="C10" s="5">
        <f>B10*26/12</f>
        <v/>
      </c>
      <c r="D10" s="5">
        <f>B10*26</f>
        <v/>
      </c>
    </row>
    <row r="11">
      <c r="A11" s="7" t="inlineStr">
        <is>
          <t>HSA</t>
        </is>
      </c>
      <c r="B11" s="5" t="n">
        <v>126.67</v>
      </c>
      <c r="C11" s="5">
        <f>B11*26/12</f>
        <v/>
      </c>
      <c r="D11" s="5">
        <f>B11*26</f>
        <v/>
      </c>
    </row>
    <row r="12">
      <c r="A12" s="7" t="inlineStr">
        <is>
          <t>Fed Withholding</t>
        </is>
      </c>
      <c r="B12" s="5" t="n">
        <v>319.22</v>
      </c>
      <c r="C12" s="5">
        <f>B12*26/12</f>
        <v/>
      </c>
      <c r="D12" s="5">
        <f>B12*26</f>
        <v/>
      </c>
    </row>
    <row r="13">
      <c r="A13" s="7" t="inlineStr">
        <is>
          <t>Fed Med/OASDI</t>
        </is>
      </c>
      <c r="B13" s="5" t="n">
        <v>238.94</v>
      </c>
      <c r="C13" s="5">
        <f>B13*26/12</f>
        <v/>
      </c>
      <c r="D13" s="5">
        <f>B13*26</f>
        <v/>
      </c>
    </row>
    <row r="14">
      <c r="A14" s="7" t="inlineStr">
        <is>
          <t>CA Withholding</t>
        </is>
      </c>
      <c r="B14" s="5" t="n">
        <v>136.15</v>
      </c>
      <c r="C14" s="5">
        <f>B14*26/12</f>
        <v/>
      </c>
      <c r="D14" s="5">
        <f>B14*26</f>
        <v/>
      </c>
    </row>
    <row r="15">
      <c r="A15" s="7" t="inlineStr">
        <is>
          <t>Disability Ins</t>
        </is>
      </c>
      <c r="B15" s="5" t="n">
        <v>12.94</v>
      </c>
      <c r="C15" s="5">
        <f>B15*26/12</f>
        <v/>
      </c>
      <c r="D15" s="5">
        <f>B15*26</f>
        <v/>
      </c>
    </row>
    <row r="16">
      <c r="A16" s="9" t="inlineStr">
        <is>
          <t>TOTAL DEDUCTIONS</t>
        </is>
      </c>
      <c r="B16" s="10">
        <f>SUM(B10:B15)</f>
        <v/>
      </c>
      <c r="C16" s="10">
        <f>SUM(C10:C15)</f>
        <v/>
      </c>
      <c r="D16" s="10">
        <f>SUM(D10:D15)</f>
        <v/>
      </c>
    </row>
    <row r="18">
      <c r="A18" s="11" t="inlineStr">
        <is>
          <t>🎁 FREE MONEY (Employer Contributions)</t>
        </is>
      </c>
    </row>
    <row r="19">
      <c r="A19" s="3" t="inlineStr">
        <is>
          <t>Benefit</t>
        </is>
      </c>
      <c r="B19" s="3" t="inlineStr">
        <is>
          <t>Per Paycheck</t>
        </is>
      </c>
      <c r="C19" s="3" t="inlineStr">
        <is>
          <t>Monthly</t>
        </is>
      </c>
      <c r="D19" s="3" t="inlineStr">
        <is>
          <t>Annual</t>
        </is>
      </c>
    </row>
    <row r="20">
      <c r="A20" s="12" t="inlineStr">
        <is>
          <t>Employer 401(k) Match (8%)</t>
        </is>
      </c>
      <c r="B20" s="13">
        <f>76000*0.08/26</f>
        <v/>
      </c>
      <c r="C20" s="13">
        <f>B20*26/12</f>
        <v/>
      </c>
      <c r="D20" s="13">
        <f>B20*26</f>
        <v/>
      </c>
    </row>
  </sheetData>
  <mergeCells count="5">
    <mergeCell ref="A18:D18"/>
    <mergeCell ref="A8:D8"/>
    <mergeCell ref="A3:D3"/>
    <mergeCell ref="A1:H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25" customWidth="1" min="4" max="4"/>
  </cols>
  <sheetData>
    <row r="1">
      <c r="A1" s="14" t="inlineStr">
        <is>
          <t>MONTHLY BUDGET PLANNER</t>
        </is>
      </c>
    </row>
    <row r="3">
      <c r="A3" s="3" t="inlineStr">
        <is>
          <t>MONTHLY INCOME</t>
        </is>
      </c>
      <c r="B3" s="15" t="n"/>
      <c r="C3" s="16" t="n"/>
    </row>
    <row r="4">
      <c r="A4" t="inlineStr">
        <is>
          <t>Net Monthly Income (avg)</t>
        </is>
      </c>
      <c r="B4" s="5" t="n">
        <v>4160</v>
      </c>
      <c r="C4" t="inlineStr">
        <is>
          <t>Based on $1,920 x 26 / 12</t>
        </is>
      </c>
    </row>
    <row r="6">
      <c r="A6" s="3" t="inlineStr">
        <is>
          <t>FIXED EXPENSES (Non-Negotiable)</t>
        </is>
      </c>
      <c r="B6" s="15" t="n"/>
      <c r="C6" s="16" t="n"/>
    </row>
    <row r="7">
      <c r="A7" s="17" t="inlineStr">
        <is>
          <t>Expense</t>
        </is>
      </c>
      <c r="B7" s="17" t="inlineStr">
        <is>
          <t>Amount</t>
        </is>
      </c>
      <c r="C7" s="17" t="inlineStr">
        <is>
          <t>Notes</t>
        </is>
      </c>
    </row>
    <row r="8">
      <c r="A8" s="18" t="inlineStr">
        <is>
          <t>Rent</t>
        </is>
      </c>
      <c r="B8" s="5" t="n">
        <v>1815</v>
      </c>
      <c r="C8" s="18" t="inlineStr">
        <is>
          <t>Fixed</t>
        </is>
      </c>
    </row>
    <row r="9">
      <c r="A9" s="18" t="inlineStr">
        <is>
          <t>Power</t>
        </is>
      </c>
      <c r="B9" s="5" t="n">
        <v>120</v>
      </c>
      <c r="C9" s="18" t="inlineStr">
        <is>
          <t>Estimate</t>
        </is>
      </c>
    </row>
    <row r="10">
      <c r="A10" s="18" t="inlineStr">
        <is>
          <t>Internet</t>
        </is>
      </c>
      <c r="B10" s="5" t="n">
        <v>51.16</v>
      </c>
      <c r="C10" s="18" t="inlineStr">
        <is>
          <t>Fixed</t>
        </is>
      </c>
    </row>
    <row r="11">
      <c r="A11" s="18" t="inlineStr">
        <is>
          <t>Gas (Utilities)</t>
        </is>
      </c>
      <c r="B11" s="5" t="n">
        <v>50</v>
      </c>
      <c r="C11" s="18" t="inlineStr">
        <is>
          <t>Estimate</t>
        </is>
      </c>
    </row>
    <row r="12">
      <c r="A12" s="18" t="inlineStr">
        <is>
          <t>Groceries</t>
        </is>
      </c>
      <c r="B12" s="5" t="n">
        <v>145</v>
      </c>
      <c r="C12" s="18" t="inlineStr">
        <is>
          <t>Budget</t>
        </is>
      </c>
    </row>
    <row r="13">
      <c r="A13" s="18" t="inlineStr">
        <is>
          <t>Credit Card Payment</t>
        </is>
      </c>
      <c r="B13" s="5" t="n">
        <v>230</v>
      </c>
      <c r="C13" s="18" t="inlineStr">
        <is>
          <t>4 months remaining</t>
        </is>
      </c>
    </row>
    <row r="14">
      <c r="A14" s="4" t="inlineStr">
        <is>
          <t>TOTAL FIXED</t>
        </is>
      </c>
      <c r="B14" s="10">
        <f>SUM(B8:B13)</f>
        <v/>
      </c>
    </row>
    <row r="16">
      <c r="A16" s="19" t="inlineStr">
        <is>
          <t>REMAINING AFTER FIXED</t>
        </is>
      </c>
      <c r="B16" s="20">
        <f>B4-B14</f>
        <v/>
      </c>
    </row>
    <row r="18">
      <c r="A18" s="3" t="inlineStr">
        <is>
          <t>SAVINGS ALLOCATION (From Remaining)</t>
        </is>
      </c>
      <c r="B18" s="15" t="n"/>
      <c r="C18" s="15" t="n"/>
      <c r="D18" s="16" t="n"/>
    </row>
    <row r="19">
      <c r="A19" s="17" t="inlineStr">
        <is>
          <t>Category</t>
        </is>
      </c>
      <c r="B19" s="17" t="inlineStr">
        <is>
          <t>Monthly</t>
        </is>
      </c>
      <c r="C19" s="17" t="inlineStr">
        <is>
          <t>% of Remaining</t>
        </is>
      </c>
      <c r="D19" s="17" t="inlineStr">
        <is>
          <t>Purpose</t>
        </is>
      </c>
    </row>
    <row r="20">
      <c r="A20" s="18" t="inlineStr">
        <is>
          <t>Roth IRA</t>
        </is>
      </c>
      <c r="B20" s="5" t="n">
        <v>583.33</v>
      </c>
      <c r="C20" s="8">
        <f>B20/$B$16</f>
        <v/>
      </c>
      <c r="D20" s="18" t="inlineStr">
        <is>
          <t>MAX IT - House + Retirement</t>
        </is>
      </c>
    </row>
    <row r="21">
      <c r="A21" s="18" t="inlineStr">
        <is>
          <t>Emergency/House Fund</t>
        </is>
      </c>
      <c r="B21" s="5" t="n">
        <v>850</v>
      </c>
      <c r="C21" s="8">
        <f>B21/$B$16</f>
        <v/>
      </c>
      <c r="D21" s="18" t="inlineStr">
        <is>
          <t>Target: $15k (faster!)</t>
        </is>
      </c>
    </row>
    <row r="22">
      <c r="A22" s="18" t="inlineStr">
        <is>
          <t>Brokerage ($50 SPY/$50 QQQ)</t>
        </is>
      </c>
      <c r="B22" s="5" t="n">
        <v>100</v>
      </c>
      <c r="C22" s="8">
        <f>B22/$B$16</f>
        <v/>
      </c>
      <c r="D22" s="18" t="inlineStr">
        <is>
          <t>Long-term wealth</t>
        </is>
      </c>
    </row>
    <row r="23">
      <c r="A23" s="18" t="inlineStr">
        <is>
          <t>Fun/Variable Spending</t>
        </is>
      </c>
      <c r="B23" s="5" t="n">
        <v>150</v>
      </c>
      <c r="C23" s="8">
        <f>B23/$B$16</f>
        <v/>
      </c>
      <c r="D23" s="18" t="inlineStr">
        <is>
          <t>HARD LIMIT</t>
        </is>
      </c>
    </row>
    <row r="24">
      <c r="A24" s="18" t="inlineStr">
        <is>
          <t>Buffer (Unexpected)</t>
        </is>
      </c>
      <c r="B24" s="5" t="n">
        <v>65.51000000000001</v>
      </c>
      <c r="C24" s="8">
        <f>B24/$B$16</f>
        <v/>
      </c>
      <c r="D24" s="18" t="inlineStr">
        <is>
          <t>Peace of mind</t>
        </is>
      </c>
    </row>
    <row r="25">
      <c r="A25" s="4" t="inlineStr">
        <is>
          <t>TOTAL ALLOCATED</t>
        </is>
      </c>
      <c r="B25" s="10">
        <f>SUM(B20:B24)</f>
        <v/>
      </c>
    </row>
    <row r="27">
      <c r="A27" s="21" t="inlineStr">
        <is>
          <t>BALANCE CHECK</t>
        </is>
      </c>
      <c r="B27" s="5">
        <f>B16-B25</f>
        <v/>
      </c>
      <c r="C27" t="inlineStr">
        <is>
          <t>← Should be $0 or close to it</t>
        </is>
      </c>
    </row>
  </sheetData>
  <mergeCells count="4">
    <mergeCell ref="A1:E1"/>
    <mergeCell ref="A3:C3"/>
    <mergeCell ref="A6:C6"/>
    <mergeCell ref="A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4" t="inlineStr">
        <is>
          <t>🎯 ROTH IRA TRACKER - MAX THAT ROTH!</t>
        </is>
      </c>
    </row>
    <row r="3">
      <c r="A3" s="21" t="inlineStr">
        <is>
          <t>WHY MAXING ROTH IRA IS IMPORTANT:</t>
        </is>
      </c>
    </row>
    <row r="4">
      <c r="A4" t="inlineStr">
        <is>
          <t>✓ Tax-FREE growth forever - never pay taxes on gains</t>
        </is>
      </c>
    </row>
    <row r="5">
      <c r="A5" t="inlineStr">
        <is>
          <t>✓ First $10k can go toward house (first-time homebuyer exception)</t>
        </is>
      </c>
    </row>
    <row r="6">
      <c r="A6" t="inlineStr">
        <is>
          <t>✓ Can withdraw CONTRIBUTIONS anytime tax/penalty free</t>
        </is>
      </c>
    </row>
    <row r="7">
      <c r="A7" t="inlineStr">
        <is>
          <t>✓ $7,000/year limit - USE IT OR LOSE IT (can't make up later)</t>
        </is>
      </c>
    </row>
    <row r="8">
      <c r="A8" t="inlineStr">
        <is>
          <t>✓ At your age, compound growth is your superpower</t>
        </is>
      </c>
    </row>
    <row r="10">
      <c r="A10" s="2" t="inlineStr">
        <is>
          <t>2025 CONTRIBUTION PROGRESS</t>
        </is>
      </c>
    </row>
    <row r="11">
      <c r="A11" s="3" t="inlineStr">
        <is>
          <t>Month</t>
        </is>
      </c>
      <c r="B11" s="3" t="inlineStr">
        <is>
          <t>Contribution</t>
        </is>
      </c>
      <c r="C11" s="3" t="inlineStr">
        <is>
          <t>YTD Total</t>
        </is>
      </c>
      <c r="D11" s="3" t="inlineStr">
        <is>
          <t>Remaining</t>
        </is>
      </c>
      <c r="E11" s="3" t="inlineStr">
        <is>
          <t>% Complete</t>
        </is>
      </c>
    </row>
    <row r="12">
      <c r="A12" s="18" t="inlineStr">
        <is>
          <t>January</t>
        </is>
      </c>
      <c r="B12" s="5" t="n">
        <v>583.33</v>
      </c>
      <c r="C12" s="5">
        <f>B12</f>
        <v/>
      </c>
      <c r="D12" s="5">
        <f>7000-C12</f>
        <v/>
      </c>
      <c r="E12" s="8">
        <f>C12/7000</f>
        <v/>
      </c>
    </row>
    <row r="13">
      <c r="A13" s="18" t="inlineStr">
        <is>
          <t>February</t>
        </is>
      </c>
      <c r="B13" s="5" t="n">
        <v>0</v>
      </c>
      <c r="C13" s="5">
        <f>C12+B13</f>
        <v/>
      </c>
      <c r="D13" s="5">
        <f>7000-C13</f>
        <v/>
      </c>
      <c r="E13" s="8">
        <f>C13/7000</f>
        <v/>
      </c>
    </row>
    <row r="14">
      <c r="A14" s="18" t="inlineStr">
        <is>
          <t>March</t>
        </is>
      </c>
      <c r="B14" s="5" t="n">
        <v>0</v>
      </c>
      <c r="C14" s="5">
        <f>C13+B14</f>
        <v/>
      </c>
      <c r="D14" s="5">
        <f>7000-C14</f>
        <v/>
      </c>
      <c r="E14" s="8">
        <f>C14/7000</f>
        <v/>
      </c>
    </row>
    <row r="15">
      <c r="A15" s="18" t="inlineStr">
        <is>
          <t>April</t>
        </is>
      </c>
      <c r="B15" s="5" t="n">
        <v>0</v>
      </c>
      <c r="C15" s="5">
        <f>C14+B15</f>
        <v/>
      </c>
      <c r="D15" s="5">
        <f>7000-C15</f>
        <v/>
      </c>
      <c r="E15" s="8">
        <f>C15/7000</f>
        <v/>
      </c>
    </row>
    <row r="16">
      <c r="A16" s="18" t="inlineStr">
        <is>
          <t>May</t>
        </is>
      </c>
      <c r="B16" s="5" t="n">
        <v>0</v>
      </c>
      <c r="C16" s="5">
        <f>C15+B16</f>
        <v/>
      </c>
      <c r="D16" s="5">
        <f>7000-C16</f>
        <v/>
      </c>
      <c r="E16" s="8">
        <f>C16/7000</f>
        <v/>
      </c>
    </row>
    <row r="17">
      <c r="A17" s="18" t="inlineStr">
        <is>
          <t>June</t>
        </is>
      </c>
      <c r="B17" s="5" t="n">
        <v>0</v>
      </c>
      <c r="C17" s="5">
        <f>C16+B17</f>
        <v/>
      </c>
      <c r="D17" s="5">
        <f>7000-C17</f>
        <v/>
      </c>
      <c r="E17" s="8">
        <f>C17/7000</f>
        <v/>
      </c>
    </row>
    <row r="18">
      <c r="A18" s="18" t="inlineStr">
        <is>
          <t>July</t>
        </is>
      </c>
      <c r="B18" s="5" t="n">
        <v>0</v>
      </c>
      <c r="C18" s="5">
        <f>C17+B18</f>
        <v/>
      </c>
      <c r="D18" s="5">
        <f>7000-C18</f>
        <v/>
      </c>
      <c r="E18" s="8">
        <f>C18/7000</f>
        <v/>
      </c>
    </row>
    <row r="19">
      <c r="A19" s="18" t="inlineStr">
        <is>
          <t>August</t>
        </is>
      </c>
      <c r="B19" s="5" t="n">
        <v>0</v>
      </c>
      <c r="C19" s="5">
        <f>C18+B19</f>
        <v/>
      </c>
      <c r="D19" s="5">
        <f>7000-C19</f>
        <v/>
      </c>
      <c r="E19" s="8">
        <f>C19/7000</f>
        <v/>
      </c>
    </row>
    <row r="20">
      <c r="A20" s="18" t="inlineStr">
        <is>
          <t>September</t>
        </is>
      </c>
      <c r="B20" s="5" t="n">
        <v>0</v>
      </c>
      <c r="C20" s="5">
        <f>C19+B20</f>
        <v/>
      </c>
      <c r="D20" s="5">
        <f>7000-C20</f>
        <v/>
      </c>
      <c r="E20" s="8">
        <f>C20/7000</f>
        <v/>
      </c>
    </row>
    <row r="21">
      <c r="A21" s="18" t="inlineStr">
        <is>
          <t>October</t>
        </is>
      </c>
      <c r="B21" s="5" t="n">
        <v>0</v>
      </c>
      <c r="C21" s="5">
        <f>C20+B21</f>
        <v/>
      </c>
      <c r="D21" s="5">
        <f>7000-C21</f>
        <v/>
      </c>
      <c r="E21" s="8">
        <f>C21/7000</f>
        <v/>
      </c>
    </row>
    <row r="22">
      <c r="A22" s="18" t="inlineStr">
        <is>
          <t>November</t>
        </is>
      </c>
      <c r="B22" s="5" t="n">
        <v>0</v>
      </c>
      <c r="C22" s="5">
        <f>C21+B22</f>
        <v/>
      </c>
      <c r="D22" s="5">
        <f>7000-C22</f>
        <v/>
      </c>
      <c r="E22" s="8">
        <f>C22/7000</f>
        <v/>
      </c>
    </row>
    <row r="23">
      <c r="A23" s="18" t="inlineStr">
        <is>
          <t>December</t>
        </is>
      </c>
      <c r="B23" s="5" t="n">
        <v>0</v>
      </c>
      <c r="C23" s="5">
        <f>C22+B23</f>
        <v/>
      </c>
      <c r="D23" s="5">
        <f>7000-C23</f>
        <v/>
      </c>
      <c r="E23" s="8">
        <f>C23/7000</f>
        <v/>
      </c>
    </row>
    <row r="25">
      <c r="A25" t="inlineStr">
        <is>
          <t>Target Monthly Contribution:</t>
        </is>
      </c>
      <c r="B25" s="5" t="n">
        <v>583.33</v>
      </c>
      <c r="C25">
        <f> $7,000 / 12 months</f>
        <v/>
      </c>
    </row>
    <row r="26">
      <c r="A26" t="inlineStr">
        <is>
          <t>Annual Limit (2025):</t>
        </is>
      </c>
      <c r="B26" s="5" t="n">
        <v>7000</v>
      </c>
    </row>
    <row r="27">
      <c r="A27" t="inlineStr">
        <is>
          <t>Your Total Contributed:</t>
        </is>
      </c>
      <c r="B27" s="10">
        <f>C23</f>
        <v/>
      </c>
    </row>
  </sheetData>
  <mergeCells count="8">
    <mergeCell ref="A4:E4"/>
    <mergeCell ref="A7:E7"/>
    <mergeCell ref="A10:E10"/>
    <mergeCell ref="A1:E1"/>
    <mergeCell ref="A5:E5"/>
    <mergeCell ref="A8:E8"/>
    <mergeCell ref="A6:E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0" customWidth="1" min="4" max="4"/>
    <col width="15" customWidth="1" min="5" max="5"/>
  </cols>
  <sheetData>
    <row r="1">
      <c r="A1" s="14" t="inlineStr">
        <is>
          <t>💳 CREDIT CARD DEBT PAYOFF TRACKER</t>
        </is>
      </c>
    </row>
    <row r="3">
      <c r="A3" s="3" t="inlineStr">
        <is>
          <t>DEBT SUMMARY</t>
        </is>
      </c>
      <c r="B3" s="15" t="n"/>
      <c r="C3" s="16" t="n"/>
    </row>
    <row r="4">
      <c r="A4" t="inlineStr">
        <is>
          <t>Total Debt (Enter Here):</t>
        </is>
      </c>
      <c r="B4" s="22" t="n">
        <v>920</v>
      </c>
    </row>
    <row r="5">
      <c r="A5" t="inlineStr">
        <is>
          <t>Monthly Payment:</t>
        </is>
      </c>
      <c r="B5" s="5" t="n">
        <v>230</v>
      </c>
    </row>
    <row r="6">
      <c r="A6" t="inlineStr">
        <is>
          <t>Months to Payoff:</t>
        </is>
      </c>
      <c r="B6" s="7">
        <f>CEILING(B4/B5,1)</f>
        <v/>
      </c>
    </row>
    <row r="7">
      <c r="A7" t="inlineStr">
        <is>
          <t>Target Payoff Date:</t>
        </is>
      </c>
      <c r="B7" s="23">
        <f>TODAY()+B6*30</f>
        <v/>
      </c>
    </row>
    <row r="9">
      <c r="A9" s="3" t="inlineStr">
        <is>
          <t>PAYMENT SCHEDULE</t>
        </is>
      </c>
      <c r="B9" s="15" t="n"/>
      <c r="C9" s="15" t="n"/>
      <c r="D9" s="15" t="n"/>
      <c r="E9" s="16" t="n"/>
    </row>
    <row r="10">
      <c r="A10" s="17" t="inlineStr">
        <is>
          <t>Month</t>
        </is>
      </c>
      <c r="B10" s="17" t="inlineStr">
        <is>
          <t>Payment</t>
        </is>
      </c>
      <c r="C10" s="17" t="inlineStr">
        <is>
          <t>Remaining Balance</t>
        </is>
      </c>
      <c r="D10" s="17" t="inlineStr">
        <is>
          <t>Paid?</t>
        </is>
      </c>
      <c r="E10" s="17" t="inlineStr">
        <is>
          <t>Date Paid</t>
        </is>
      </c>
    </row>
    <row r="11">
      <c r="A11" s="18" t="inlineStr">
        <is>
          <t>Month 1</t>
        </is>
      </c>
      <c r="B11" s="5" t="n">
        <v>230</v>
      </c>
      <c r="C11" s="5">
        <f>$B$4-B11</f>
        <v/>
      </c>
      <c r="D11" s="18" t="inlineStr">
        <is>
          <t>☐</t>
        </is>
      </c>
      <c r="E11" s="18" t="inlineStr"/>
    </row>
    <row r="12">
      <c r="A12" s="18" t="inlineStr">
        <is>
          <t>Month 2</t>
        </is>
      </c>
      <c r="B12" s="5" t="n">
        <v>230</v>
      </c>
      <c r="C12" s="5">
        <f>C11-B12</f>
        <v/>
      </c>
      <c r="D12" s="18" t="inlineStr">
        <is>
          <t>☐</t>
        </is>
      </c>
      <c r="E12" s="18" t="inlineStr"/>
    </row>
    <row r="13">
      <c r="A13" s="18" t="inlineStr">
        <is>
          <t>Month 3</t>
        </is>
      </c>
      <c r="B13" s="5" t="n">
        <v>230</v>
      </c>
      <c r="C13" s="5">
        <f>C12-B13</f>
        <v/>
      </c>
      <c r="D13" s="18" t="inlineStr">
        <is>
          <t>☐</t>
        </is>
      </c>
      <c r="E13" s="18" t="inlineStr"/>
    </row>
    <row r="14">
      <c r="A14" s="18" t="inlineStr">
        <is>
          <t>Month 4</t>
        </is>
      </c>
      <c r="B14" s="5" t="n">
        <v>230</v>
      </c>
      <c r="C14" s="5">
        <f>C13-B14</f>
        <v/>
      </c>
      <c r="D14" s="18" t="inlineStr">
        <is>
          <t>☐</t>
        </is>
      </c>
      <c r="E14" s="18" t="inlineStr"/>
    </row>
    <row r="16">
      <c r="A16" s="19" t="inlineStr">
        <is>
          <t>🎉 AFTER PAYOFF - REDIRECT $230/MONTH TO:</t>
        </is>
      </c>
    </row>
    <row r="17">
      <c r="A17" t="inlineStr">
        <is>
          <t>• Emergency Fund</t>
        </is>
      </c>
      <c r="B17" s="6" t="inlineStr">
        <is>
          <t>Reach $15k faster</t>
        </is>
      </c>
    </row>
    <row r="18">
      <c r="A18" t="inlineStr">
        <is>
          <t>• Brokerage</t>
        </is>
      </c>
      <c r="B18" s="6" t="inlineStr">
        <is>
          <t>More investing power</t>
        </is>
      </c>
    </row>
    <row r="19">
      <c r="A19" t="inlineStr">
        <is>
          <t>• Fun Money</t>
        </is>
      </c>
      <c r="B19" s="6" t="inlineStr">
        <is>
          <t>Reward yourself!</t>
        </is>
      </c>
    </row>
  </sheetData>
  <mergeCells count="4">
    <mergeCell ref="A16:E16"/>
    <mergeCell ref="A1:E1"/>
    <mergeCell ref="A3:C3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0" customWidth="1" min="5" max="5"/>
    <col width="12" customWidth="1" min="6" max="6"/>
    <col width="18" customWidth="1" min="7" max="7"/>
  </cols>
  <sheetData>
    <row r="1">
      <c r="A1" s="14" t="inlineStr">
        <is>
          <t>🏢 WORK EXPENSE FLOAT TRACKER</t>
        </is>
      </c>
    </row>
    <row r="3">
      <c r="A3" s="6" t="inlineStr">
        <is>
          <t>Track expenses you pay out-of-pocket for work reimbursement</t>
        </is>
      </c>
    </row>
    <row r="5">
      <c r="A5" s="3" t="inlineStr">
        <is>
          <t>CURRENT FLOAT SUMMARY</t>
        </is>
      </c>
      <c r="B5" s="15" t="n"/>
      <c r="C5" s="16" t="n"/>
    </row>
    <row r="6">
      <c r="A6" t="inlineStr">
        <is>
          <t>Total Outstanding:</t>
        </is>
      </c>
      <c r="B6" s="22">
        <f>SUMIF(F10:F100,"Pending",D10:D100)</f>
        <v/>
      </c>
    </row>
    <row r="7">
      <c r="A7" t="inlineStr">
        <is>
          <t>Expected Reimbursement Date:</t>
        </is>
      </c>
      <c r="B7" s="24">
        <f>MIN(G10:G100)</f>
        <v/>
      </c>
    </row>
    <row r="9">
      <c r="A9" s="3" t="inlineStr">
        <is>
          <t>Date</t>
        </is>
      </c>
      <c r="B9" s="3" t="inlineStr">
        <is>
          <t>Description</t>
        </is>
      </c>
      <c r="C9" s="3" t="inlineStr">
        <is>
          <t>Category</t>
        </is>
      </c>
      <c r="D9" s="3" t="inlineStr">
        <is>
          <t>Amount</t>
        </is>
      </c>
      <c r="E9" s="3" t="inlineStr">
        <is>
          <t>Receipt?</t>
        </is>
      </c>
      <c r="F9" s="3" t="inlineStr">
        <is>
          <t>Status</t>
        </is>
      </c>
      <c r="G9" s="3" t="inlineStr">
        <is>
          <t>Expected Reimb.</t>
        </is>
      </c>
    </row>
    <row r="10">
      <c r="A10" s="18" t="inlineStr">
        <is>
          <t>01/15/2025</t>
        </is>
      </c>
      <c r="B10" s="18" t="inlineStr">
        <is>
          <t>Client lunch - Project X</t>
        </is>
      </c>
      <c r="C10" s="18" t="inlineStr">
        <is>
          <t>Meals</t>
        </is>
      </c>
      <c r="D10" s="25" t="n">
        <v>45</v>
      </c>
      <c r="E10" s="18" t="inlineStr">
        <is>
          <t>Yes</t>
        </is>
      </c>
      <c r="F10" s="18" t="inlineStr">
        <is>
          <t>Pending</t>
        </is>
      </c>
      <c r="G10" s="18" t="inlineStr">
        <is>
          <t>02/01/2025</t>
        </is>
      </c>
    </row>
    <row r="11">
      <c r="A11" s="18" t="inlineStr">
        <is>
          <t>01/18/2025</t>
        </is>
      </c>
      <c r="B11" s="18" t="inlineStr">
        <is>
          <t>Uber to client site</t>
        </is>
      </c>
      <c r="C11" s="18" t="inlineStr">
        <is>
          <t>Travel</t>
        </is>
      </c>
      <c r="D11" s="25" t="n">
        <v>28.5</v>
      </c>
      <c r="E11" s="18" t="inlineStr">
        <is>
          <t>Yes</t>
        </is>
      </c>
      <c r="F11" s="18" t="inlineStr">
        <is>
          <t>Pending</t>
        </is>
      </c>
      <c r="G11" s="18" t="inlineStr">
        <is>
          <t>02/01/2025</t>
        </is>
      </c>
    </row>
    <row r="12">
      <c r="A12" s="18" t="inlineStr"/>
      <c r="B12" s="18" t="inlineStr"/>
      <c r="C12" s="18" t="inlineStr"/>
      <c r="D12" s="18" t="inlineStr"/>
      <c r="E12" s="18" t="inlineStr"/>
      <c r="F12" s="18" t="inlineStr"/>
      <c r="G12" s="18" t="inlineStr"/>
    </row>
    <row r="13">
      <c r="A13" s="18" t="inlineStr"/>
      <c r="B13" s="18" t="inlineStr"/>
      <c r="C13" s="18" t="inlineStr"/>
      <c r="D13" s="18" t="inlineStr"/>
      <c r="E13" s="18" t="inlineStr"/>
      <c r="F13" s="18" t="inlineStr"/>
      <c r="G13" s="18" t="inlineStr"/>
    </row>
    <row r="14">
      <c r="A14" s="18" t="inlineStr"/>
      <c r="B14" s="18" t="inlineStr"/>
      <c r="C14" s="18" t="inlineStr"/>
      <c r="D14" s="18" t="inlineStr"/>
      <c r="E14" s="18" t="inlineStr"/>
      <c r="F14" s="18" t="inlineStr"/>
      <c r="G14" s="18" t="inlineStr"/>
    </row>
    <row r="17">
      <c r="A17" s="3" t="inlineStr">
        <is>
          <t>FLOAT IMPACT ON BUDGET</t>
        </is>
      </c>
      <c r="B17" s="15" t="n"/>
      <c r="C17" s="16" t="n"/>
    </row>
    <row r="18">
      <c r="A18" t="inlineStr">
        <is>
          <t>Max Safe Float (1 paycheck):</t>
        </is>
      </c>
      <c r="B18" s="5" t="n">
        <v>1920</v>
      </c>
    </row>
    <row r="19">
      <c r="A19" t="inlineStr">
        <is>
          <t>Current Float:</t>
        </is>
      </c>
      <c r="B19" s="5">
        <f>B6</f>
        <v/>
      </c>
    </row>
    <row r="20">
      <c r="A20" t="inlineStr">
        <is>
          <t>Remaining Float Capacity:</t>
        </is>
      </c>
      <c r="B20" s="5">
        <f>B18-B19</f>
        <v/>
      </c>
    </row>
    <row r="22">
      <c r="A22" s="26" t="inlineStr">
        <is>
          <t>⚠️ If float &gt; 1 paycheck, delay non-essential spending until reimbursed</t>
        </is>
      </c>
    </row>
  </sheetData>
  <mergeCells count="5">
    <mergeCell ref="A1:G1"/>
    <mergeCell ref="A5:C5"/>
    <mergeCell ref="A3:G3"/>
    <mergeCell ref="A22:G22"/>
    <mergeCell ref="A17:C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</cols>
  <sheetData>
    <row r="1">
      <c r="A1" s="14" t="inlineStr">
        <is>
          <t>🏦 EMERGENCY FUND TRACKER</t>
        </is>
      </c>
    </row>
    <row r="3">
      <c r="A3" s="21" t="inlineStr">
        <is>
          <t>Goal: $15,000 (About 6 months of essential expenses)</t>
        </is>
      </c>
    </row>
    <row r="5">
      <c r="A5" s="3" t="inlineStr">
        <is>
          <t>CURRENT STATUS</t>
        </is>
      </c>
      <c r="B5" s="15" t="n"/>
      <c r="C5" s="16" t="n"/>
    </row>
    <row r="6">
      <c r="A6" t="inlineStr">
        <is>
          <t>Current Balance:</t>
        </is>
      </c>
      <c r="B6" s="22" t="n">
        <v>0</v>
      </c>
    </row>
    <row r="7">
      <c r="A7" t="inlineStr">
        <is>
          <t>Target:</t>
        </is>
      </c>
      <c r="B7" s="5" t="n">
        <v>15000</v>
      </c>
    </row>
    <row r="8">
      <c r="A8" t="inlineStr">
        <is>
          <t>Remaining to Goal:</t>
        </is>
      </c>
      <c r="B8" s="5">
        <f>B7-B6</f>
        <v/>
      </c>
    </row>
    <row r="9">
      <c r="A9" t="inlineStr">
        <is>
          <t>Progress:</t>
        </is>
      </c>
      <c r="B9" s="8">
        <f>B6/B7</f>
        <v/>
      </c>
    </row>
    <row r="11">
      <c r="A11" t="inlineStr">
        <is>
          <t>Monthly Contribution:</t>
        </is>
      </c>
      <c r="B11" s="5" t="n">
        <v>750</v>
      </c>
    </row>
    <row r="12">
      <c r="A12" t="inlineStr">
        <is>
          <t>Months to Goal:</t>
        </is>
      </c>
      <c r="B12">
        <f>CEILING(B8/B11,1)</f>
        <v/>
      </c>
    </row>
    <row r="13">
      <c r="A13" t="inlineStr">
        <is>
          <t>Target Date:</t>
        </is>
      </c>
      <c r="B13" s="23">
        <f>TODAY()+B12*30</f>
        <v/>
      </c>
    </row>
    <row r="15">
      <c r="A15" s="3" t="inlineStr">
        <is>
          <t>MONTHLY CONTRIBUTIONS</t>
        </is>
      </c>
      <c r="B15" s="15" t="n"/>
      <c r="C15" s="15" t="n"/>
      <c r="D15" s="16" t="n"/>
    </row>
    <row r="16">
      <c r="A16" s="17" t="inlineStr">
        <is>
          <t>Month</t>
        </is>
      </c>
      <c r="B16" s="17" t="inlineStr">
        <is>
          <t>Contribution</t>
        </is>
      </c>
      <c r="C16" s="17" t="inlineStr">
        <is>
          <t>Running Total</t>
        </is>
      </c>
      <c r="D16" s="17" t="inlineStr">
        <is>
          <t>% to Goal</t>
        </is>
      </c>
    </row>
    <row r="17">
      <c r="A17" s="18" t="inlineStr"/>
      <c r="B17" s="5" t="n">
        <v>0</v>
      </c>
      <c r="C17" s="5">
        <f>$B$6+B17</f>
        <v/>
      </c>
      <c r="D17" s="8">
        <f>C17/$B$7</f>
        <v/>
      </c>
    </row>
    <row r="18">
      <c r="A18" s="18" t="inlineStr"/>
      <c r="B18" s="5" t="n">
        <v>0</v>
      </c>
      <c r="C18" s="5">
        <f>C17+B18</f>
        <v/>
      </c>
      <c r="D18" s="8">
        <f>C18/$B$7</f>
        <v/>
      </c>
    </row>
    <row r="19">
      <c r="A19" s="18" t="inlineStr"/>
      <c r="B19" s="5" t="n">
        <v>0</v>
      </c>
      <c r="C19" s="5">
        <f>C18+B19</f>
        <v/>
      </c>
      <c r="D19" s="8">
        <f>C19/$B$7</f>
        <v/>
      </c>
    </row>
    <row r="20">
      <c r="A20" s="18" t="inlineStr"/>
      <c r="B20" s="5" t="n">
        <v>0</v>
      </c>
      <c r="C20" s="5">
        <f>C19+B20</f>
        <v/>
      </c>
      <c r="D20" s="8">
        <f>C20/$B$7</f>
        <v/>
      </c>
    </row>
    <row r="21">
      <c r="A21" s="18" t="inlineStr"/>
      <c r="B21" s="5" t="n">
        <v>0</v>
      </c>
      <c r="C21" s="5">
        <f>C20+B21</f>
        <v/>
      </c>
      <c r="D21" s="8">
        <f>C21/$B$7</f>
        <v/>
      </c>
    </row>
    <row r="22">
      <c r="A22" s="18" t="inlineStr"/>
      <c r="B22" s="5" t="n">
        <v>0</v>
      </c>
      <c r="C22" s="5">
        <f>C21+B22</f>
        <v/>
      </c>
      <c r="D22" s="8">
        <f>C22/$B$7</f>
        <v/>
      </c>
    </row>
    <row r="23">
      <c r="A23" s="18" t="inlineStr"/>
      <c r="B23" s="5" t="n">
        <v>0</v>
      </c>
      <c r="C23" s="5">
        <f>C22+B23</f>
        <v/>
      </c>
      <c r="D23" s="8">
        <f>C23/$B$7</f>
        <v/>
      </c>
    </row>
    <row r="24">
      <c r="A24" s="18" t="inlineStr"/>
      <c r="B24" s="5" t="n">
        <v>0</v>
      </c>
      <c r="C24" s="5">
        <f>C23+B24</f>
        <v/>
      </c>
      <c r="D24" s="8">
        <f>C24/$B$7</f>
        <v/>
      </c>
    </row>
    <row r="25">
      <c r="A25" s="18" t="inlineStr"/>
      <c r="B25" s="5" t="n">
        <v>0</v>
      </c>
      <c r="C25" s="5">
        <f>C24+B25</f>
        <v/>
      </c>
      <c r="D25" s="8">
        <f>C25/$B$7</f>
        <v/>
      </c>
    </row>
    <row r="26">
      <c r="A26" s="18" t="inlineStr"/>
      <c r="B26" s="5" t="n">
        <v>0</v>
      </c>
      <c r="C26" s="5">
        <f>C25+B26</f>
        <v/>
      </c>
      <c r="D26" s="8">
        <f>C26/$B$7</f>
        <v/>
      </c>
    </row>
    <row r="27">
      <c r="A27" s="18" t="inlineStr"/>
      <c r="B27" s="5" t="n">
        <v>0</v>
      </c>
      <c r="C27" s="5">
        <f>C26+B27</f>
        <v/>
      </c>
      <c r="D27" s="8">
        <f>C27/$B$7</f>
        <v/>
      </c>
    </row>
    <row r="28">
      <c r="A28" s="18" t="inlineStr"/>
      <c r="B28" s="5" t="n">
        <v>0</v>
      </c>
      <c r="C28" s="5">
        <f>C27+B28</f>
        <v/>
      </c>
      <c r="D28" s="8">
        <f>C28/$B$7</f>
        <v/>
      </c>
    </row>
    <row r="29">
      <c r="A29" s="18" t="inlineStr"/>
      <c r="B29" s="5" t="n">
        <v>0</v>
      </c>
      <c r="C29" s="5">
        <f>C28+B29</f>
        <v/>
      </c>
      <c r="D29" s="8">
        <f>C29/$B$7</f>
        <v/>
      </c>
    </row>
    <row r="30">
      <c r="A30" s="18" t="inlineStr"/>
      <c r="B30" s="5" t="n">
        <v>0</v>
      </c>
      <c r="C30" s="5">
        <f>C29+B30</f>
        <v/>
      </c>
      <c r="D30" s="8">
        <f>C30/$B$7</f>
        <v/>
      </c>
    </row>
    <row r="31">
      <c r="A31" s="18" t="inlineStr"/>
      <c r="B31" s="5" t="n">
        <v>0</v>
      </c>
      <c r="C31" s="5">
        <f>C30+B31</f>
        <v/>
      </c>
      <c r="D31" s="8">
        <f>C31/$B$7</f>
        <v/>
      </c>
    </row>
    <row r="32">
      <c r="A32" s="18" t="inlineStr"/>
      <c r="B32" s="5" t="n">
        <v>0</v>
      </c>
      <c r="C32" s="5">
        <f>C31+B32</f>
        <v/>
      </c>
      <c r="D32" s="8">
        <f>C32/$B$7</f>
        <v/>
      </c>
    </row>
    <row r="33">
      <c r="A33" s="18" t="inlineStr"/>
      <c r="B33" s="5" t="n">
        <v>0</v>
      </c>
      <c r="C33" s="5">
        <f>C32+B33</f>
        <v/>
      </c>
      <c r="D33" s="8">
        <f>C33/$B$7</f>
        <v/>
      </c>
    </row>
    <row r="34">
      <c r="A34" s="18" t="inlineStr"/>
      <c r="B34" s="5" t="n">
        <v>0</v>
      </c>
      <c r="C34" s="5">
        <f>C33+B34</f>
        <v/>
      </c>
      <c r="D34" s="8">
        <f>C34/$B$7</f>
        <v/>
      </c>
    </row>
    <row r="35">
      <c r="A35" s="18" t="inlineStr"/>
      <c r="B35" s="5" t="n">
        <v>0</v>
      </c>
      <c r="C35" s="5">
        <f>C34+B35</f>
        <v/>
      </c>
      <c r="D35" s="8">
        <f>C35/$B$7</f>
        <v/>
      </c>
    </row>
    <row r="36">
      <c r="A36" s="18" t="inlineStr"/>
      <c r="B36" s="5" t="n">
        <v>0</v>
      </c>
      <c r="C36" s="5">
        <f>C35+B36</f>
        <v/>
      </c>
      <c r="D36" s="8">
        <f>C36/$B$7</f>
        <v/>
      </c>
    </row>
  </sheetData>
  <mergeCells count="3">
    <mergeCell ref="A5:C5"/>
    <mergeCell ref="A15:D15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4" t="inlineStr">
        <is>
          <t>📅 PAYCHECK-BY-PAYCHECK TRACKER</t>
        </is>
      </c>
    </row>
    <row r="3">
      <c r="A3" s="6" t="inlineStr">
        <is>
          <t>Track each paycheck and how you allocate it</t>
        </is>
      </c>
    </row>
    <row r="5">
      <c r="A5" s="3" t="inlineStr">
        <is>
          <t>STANDARD PAYCHECK ALLOCATION (~$1,920 net)</t>
        </is>
      </c>
      <c r="B5" s="15" t="n"/>
      <c r="C5" s="16" t="n"/>
    </row>
    <row r="6">
      <c r="A6" s="17" t="inlineStr">
        <is>
          <t>Category</t>
        </is>
      </c>
      <c r="B6" s="17" t="inlineStr">
        <is>
          <t>Amount</t>
        </is>
      </c>
      <c r="C6" s="17" t="inlineStr">
        <is>
          <t>Notes</t>
        </is>
      </c>
    </row>
    <row r="7">
      <c r="A7" s="18" t="inlineStr">
        <is>
          <t>Fixed Expenses (half monthly)</t>
        </is>
      </c>
      <c r="B7" s="5" t="n">
        <v>1110</v>
      </c>
      <c r="C7" s="18">
        <f>($1815+$120+$51+$50)/2 + $145/2</f>
        <v/>
      </c>
    </row>
    <row r="8">
      <c r="A8" s="18" t="inlineStr">
        <is>
          <t>Roth IRA</t>
        </is>
      </c>
      <c r="B8" s="5" t="n">
        <v>291.67</v>
      </c>
      <c r="C8" s="18" t="inlineStr">
        <is>
          <t>$583.33/2 per paycheck</t>
        </is>
      </c>
    </row>
    <row r="9">
      <c r="A9" s="18" t="inlineStr">
        <is>
          <t>Emergency Fund</t>
        </is>
      </c>
      <c r="B9" s="5" t="n">
        <v>425</v>
      </c>
      <c r="C9" s="18" t="inlineStr">
        <is>
          <t>$850/2 per paycheck</t>
        </is>
      </c>
    </row>
    <row r="10">
      <c r="A10" s="18" t="inlineStr">
        <is>
          <t>Brokerage</t>
        </is>
      </c>
      <c r="B10" s="5" t="n">
        <v>50</v>
      </c>
      <c r="C10" s="18" t="inlineStr">
        <is>
          <t>$100/2 per paycheck</t>
        </is>
      </c>
    </row>
    <row r="11">
      <c r="A11" s="18" t="inlineStr">
        <is>
          <t>Fun Money</t>
        </is>
      </c>
      <c r="B11" s="5" t="n">
        <v>75</v>
      </c>
      <c r="C11" s="18" t="inlineStr">
        <is>
          <t>$150/2 per paycheck - HARD LIMIT</t>
        </is>
      </c>
    </row>
    <row r="12">
      <c r="A12" s="18" t="inlineStr">
        <is>
          <t>Buffer/CC if applicable</t>
        </is>
      </c>
      <c r="B12" s="5" t="n">
        <v>0</v>
      </c>
      <c r="C12" s="18" t="inlineStr">
        <is>
          <t>Adjust as needed</t>
        </is>
      </c>
    </row>
    <row r="13">
      <c r="A13" t="inlineStr">
        <is>
          <t>TOTAL:</t>
        </is>
      </c>
      <c r="B13" s="10">
        <f>SUM(B7:B12)</f>
        <v/>
      </c>
    </row>
    <row r="15">
      <c r="A15" s="3" t="inlineStr">
        <is>
          <t>ACTUAL PAYCHECK LOG</t>
        </is>
      </c>
      <c r="B15" s="15" t="n"/>
      <c r="C15" s="15" t="n"/>
      <c r="D15" s="15" t="n"/>
      <c r="E15" s="15" t="n"/>
      <c r="F15" s="15" t="n"/>
      <c r="G15" s="15" t="n"/>
      <c r="H15" s="16" t="n"/>
    </row>
    <row r="16">
      <c r="A16" s="17" t="inlineStr">
        <is>
          <t>Pay Date</t>
        </is>
      </c>
      <c r="B16" s="17" t="inlineStr">
        <is>
          <t>Gross</t>
        </is>
      </c>
      <c r="C16" s="17" t="inlineStr">
        <is>
          <t>Net</t>
        </is>
      </c>
      <c r="D16" s="17" t="inlineStr">
        <is>
          <t>Hours</t>
        </is>
      </c>
      <c r="E16" s="17" t="inlineStr">
        <is>
          <t>Roth IRA</t>
        </is>
      </c>
      <c r="F16" s="17" t="inlineStr">
        <is>
          <t>E-Fund</t>
        </is>
      </c>
      <c r="G16" s="17" t="inlineStr">
        <is>
          <t>Brokerage</t>
        </is>
      </c>
      <c r="H16" s="17" t="inlineStr">
        <is>
          <t>Notes</t>
        </is>
      </c>
    </row>
    <row r="17">
      <c r="A17" s="18" t="inlineStr">
        <is>
          <t>01/24/2025</t>
        </is>
      </c>
      <c r="B17" s="25" t="n">
        <v>3250.01</v>
      </c>
      <c r="C17" s="25" t="n">
        <v>2162.76</v>
      </c>
      <c r="D17" s="18" t="n">
        <v>96</v>
      </c>
      <c r="E17" s="25" t="n">
        <v>291.67</v>
      </c>
      <c r="F17" s="25" t="n">
        <v>375</v>
      </c>
      <c r="G17" s="25" t="n">
        <v>50</v>
      </c>
      <c r="H17" s="18" t="inlineStr">
        <is>
          <t>Extra hours</t>
        </is>
      </c>
    </row>
    <row r="18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</row>
    <row r="19">
      <c r="A19" s="18" t="inlineStr"/>
      <c r="B19" s="18" t="inlineStr"/>
      <c r="C19" s="18" t="inlineStr"/>
      <c r="D19" s="18" t="inlineStr"/>
      <c r="E19" s="18" t="inlineStr"/>
      <c r="F19" s="18" t="inlineStr"/>
      <c r="G19" s="18" t="inlineStr"/>
      <c r="H19" s="18" t="inlineStr"/>
    </row>
    <row r="20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</row>
    <row r="21">
      <c r="A21" s="18" t="inlineStr"/>
      <c r="B21" s="18" t="inlineStr"/>
      <c r="C21" s="18" t="inlineStr"/>
      <c r="D21" s="18" t="inlineStr"/>
      <c r="E21" s="18" t="inlineStr"/>
      <c r="F21" s="18" t="inlineStr"/>
      <c r="G21" s="18" t="inlineStr"/>
      <c r="H21" s="18" t="inlineStr"/>
    </row>
    <row r="22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</row>
    <row r="23">
      <c r="A23" s="18" t="inlineStr"/>
      <c r="B23" s="18" t="inlineStr"/>
      <c r="C23" s="18" t="inlineStr"/>
      <c r="D23" s="18" t="inlineStr"/>
      <c r="E23" s="18" t="inlineStr"/>
      <c r="F23" s="18" t="inlineStr"/>
      <c r="G23" s="18" t="inlineStr"/>
      <c r="H23" s="18" t="inlineStr"/>
    </row>
    <row r="24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</row>
    <row r="25">
      <c r="A25" s="18" t="inlineStr"/>
      <c r="B25" s="18" t="inlineStr"/>
      <c r="C25" s="18" t="inlineStr"/>
      <c r="D25" s="18" t="inlineStr"/>
      <c r="E25" s="18" t="inlineStr"/>
      <c r="F25" s="18" t="inlineStr"/>
      <c r="G25" s="18" t="inlineStr"/>
      <c r="H25" s="18" t="inlineStr"/>
    </row>
    <row r="26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</row>
    <row r="27">
      <c r="A27" s="18" t="inlineStr"/>
      <c r="B27" s="18" t="inlineStr"/>
      <c r="C27" s="18" t="inlineStr"/>
      <c r="D27" s="18" t="inlineStr"/>
      <c r="E27" s="18" t="inlineStr"/>
      <c r="F27" s="18" t="inlineStr"/>
      <c r="G27" s="18" t="inlineStr"/>
      <c r="H27" s="18" t="inlineStr"/>
    </row>
    <row r="28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</row>
    <row r="29">
      <c r="A29" s="18" t="inlineStr"/>
      <c r="B29" s="18" t="inlineStr"/>
      <c r="C29" s="18" t="inlineStr"/>
      <c r="D29" s="18" t="inlineStr"/>
      <c r="E29" s="18" t="inlineStr"/>
      <c r="F29" s="18" t="inlineStr"/>
      <c r="G29" s="18" t="inlineStr"/>
      <c r="H29" s="18" t="inlineStr"/>
    </row>
  </sheetData>
  <mergeCells count="3">
    <mergeCell ref="A5:C5"/>
    <mergeCell ref="A15:H1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4" t="inlineStr">
        <is>
          <t>📚 JOSHUA'S MONEY MANAGEMENT RULES</t>
        </is>
      </c>
    </row>
    <row r="2">
      <c r="A2" t="inlineStr"/>
    </row>
    <row r="3">
      <c r="A3" s="21" t="inlineStr">
        <is>
          <t>🎯 THE PRIORITY ORDER (Pay Yourself First)</t>
        </is>
      </c>
    </row>
    <row r="4">
      <c r="A4" s="27" t="inlineStr">
        <is>
          <t>────────────────────────────────────</t>
        </is>
      </c>
    </row>
    <row r="5">
      <c r="A5" t="inlineStr">
        <is>
          <t>1. Fixed expenses MUST be covered (rent, utilities, food)</t>
        </is>
      </c>
    </row>
    <row r="6">
      <c r="A6" t="inlineStr">
        <is>
          <t>2. Credit card debt gets eliminated (4 months then done!)</t>
        </is>
      </c>
    </row>
    <row r="7">
      <c r="A7" t="inlineStr">
        <is>
          <t>3. Roth IRA gets maxed ($583.33/month - tax-free forever)</t>
        </is>
      </c>
    </row>
    <row r="8">
      <c r="A8" t="inlineStr">
        <is>
          <t>4. Emergency fund grows ($750/month until $15k)</t>
        </is>
      </c>
    </row>
    <row r="9">
      <c r="A9" t="inlineStr">
        <is>
          <t>5. Brokerage for extra wealth building</t>
        </is>
      </c>
    </row>
    <row r="10">
      <c r="A10" t="inlineStr">
        <is>
          <t>6. Fun money LAST (but don't skip it - burnout is real)</t>
        </is>
      </c>
    </row>
    <row r="11">
      <c r="A11" t="inlineStr"/>
    </row>
    <row r="12">
      <c r="A12" s="21" t="inlineStr">
        <is>
          <t>💡 KEY INSIGHTS FROM YOUR NUMBERS</t>
        </is>
      </c>
    </row>
    <row r="13">
      <c r="A13" s="27" t="inlineStr">
        <is>
          <t>────────────────────────────────────</t>
        </is>
      </c>
    </row>
    <row r="14">
      <c r="A14" t="inlineStr">
        <is>
          <t>• Your employer gives you FREE 8% 401k match = ~$6,080/year FREE MONEY</t>
        </is>
      </c>
    </row>
    <row r="15">
      <c r="A15" t="inlineStr">
        <is>
          <t>• You're already saving 8% in Roth 401k + HSA from paycheck</t>
        </is>
      </c>
    </row>
    <row r="16">
      <c r="A16" t="inlineStr">
        <is>
          <t>• Total retirement savings: ~24% of gross (excellent!)</t>
        </is>
      </c>
    </row>
    <row r="17">
      <c r="A17" t="inlineStr">
        <is>
          <t>• After CC payoff, you'll have $230 extra/month</t>
        </is>
      </c>
    </row>
    <row r="18">
      <c r="A18" t="inlineStr"/>
    </row>
    <row r="19">
      <c r="A19" s="21" t="inlineStr">
        <is>
          <t>⚠️ WARNING SIGNS TO WATCH</t>
        </is>
      </c>
    </row>
    <row r="20">
      <c r="A20" s="27" t="inlineStr">
        <is>
          <t>────────────────────────────────────</t>
        </is>
      </c>
    </row>
    <row r="21">
      <c r="A21" t="inlineStr">
        <is>
          <t>• Fun spending hitting $308? That's eating into savings</t>
        </is>
      </c>
    </row>
    <row r="22">
      <c r="A22" t="inlineStr">
        <is>
          <t>• Work expense float &gt; 1 paycheck? Delay discretionary spending</t>
        </is>
      </c>
    </row>
    <row r="23">
      <c r="A23" t="inlineStr">
        <is>
          <t>• Skipping Roth IRA contribution? You lose that year's limit forever</t>
        </is>
      </c>
    </row>
    <row r="24">
      <c r="A24" t="inlineStr"/>
    </row>
    <row r="25">
      <c r="A25" s="21" t="inlineStr">
        <is>
          <t>🏆 YOUR FINANCIAL SUPERPOWERS</t>
        </is>
      </c>
    </row>
    <row r="26">
      <c r="A26" s="27" t="inlineStr">
        <is>
          <t>────────────────────────────────────</t>
        </is>
      </c>
    </row>
    <row r="27">
      <c r="A27" t="inlineStr">
        <is>
          <t>• Young + high savings rate = compound interest machine</t>
        </is>
      </c>
    </row>
    <row r="28">
      <c r="A28" t="inlineStr">
        <is>
          <t>• HSA = triple tax advantage (pre-tax in, grows tax-free, tax-free out for medical)</t>
        </is>
      </c>
    </row>
    <row r="29">
      <c r="A29" t="inlineStr">
        <is>
          <t>• Roth IRA = flexibility (contributions out anytime, $10k for house)</t>
        </is>
      </c>
    </row>
    <row r="30">
      <c r="A30" t="inlineStr">
        <is>
          <t>• Employer match = instant 100% return on investment</t>
        </is>
      </c>
    </row>
    <row r="31">
      <c r="A31" t="inlineStr"/>
    </row>
    <row r="32">
      <c r="A32" s="21" t="inlineStr">
        <is>
          <t>📊 THE MATH THAT MATTERS</t>
        </is>
      </c>
    </row>
    <row r="33">
      <c r="A33" s="27" t="inlineStr">
        <is>
          <t>────────────────────────────────────</t>
        </is>
      </c>
    </row>
    <row r="34">
      <c r="A34" t="inlineStr">
        <is>
          <t>• $583/month in Roth IRA for 30 years @ 7% = ~$700,000</t>
        </is>
      </c>
    </row>
    <row r="35">
      <c r="A35" t="inlineStr">
        <is>
          <t>• That $308 fun spending? Over 30 years @ 7% = ~$370,000 opportunity cost</t>
        </is>
      </c>
    </row>
    <row r="36">
      <c r="A36" t="inlineStr">
        <is>
          <t>• Every $1 saved in your 20s = ~$7.60 at retirement (7% for 30 years)</t>
        </is>
      </c>
    </row>
    <row r="37">
      <c r="A37" t="inlineStr"/>
    </row>
    <row r="38">
      <c r="A38" s="21" t="inlineStr">
        <is>
          <t>🎮 GAMIFY YOUR FINANCES</t>
        </is>
      </c>
    </row>
    <row r="39">
      <c r="A39" s="27" t="inlineStr">
        <is>
          <t>────────────────────────────────────</t>
        </is>
      </c>
    </row>
    <row r="40">
      <c r="A40" t="inlineStr">
        <is>
          <t>• Set monthly 'high scores' for savings</t>
        </is>
      </c>
    </row>
    <row r="41">
      <c r="A41" t="inlineStr">
        <is>
          <t>• Celebrate milestones (first $1k, $5k, $10k in emergency fund)</t>
        </is>
      </c>
    </row>
    <row r="42">
      <c r="A42" t="inlineStr">
        <is>
          <t>• Track your net worth monthly - watch it grow!</t>
        </is>
      </c>
    </row>
  </sheetData>
  <mergeCells count="42">
    <mergeCell ref="A30:E30"/>
    <mergeCell ref="A39:E39"/>
    <mergeCell ref="A34:E34"/>
    <mergeCell ref="A24:E24"/>
    <mergeCell ref="A15:E15"/>
    <mergeCell ref="A11:E11"/>
    <mergeCell ref="A1:E1"/>
    <mergeCell ref="A36:E36"/>
    <mergeCell ref="A6:E6"/>
    <mergeCell ref="A16:E16"/>
    <mergeCell ref="A7:E7"/>
    <mergeCell ref="A25:E25"/>
    <mergeCell ref="A41:E41"/>
    <mergeCell ref="A37:E37"/>
    <mergeCell ref="A18:E18"/>
    <mergeCell ref="A27:E27"/>
    <mergeCell ref="A3:E3"/>
    <mergeCell ref="A21:E21"/>
    <mergeCell ref="A12:E12"/>
    <mergeCell ref="A26:E26"/>
    <mergeCell ref="A2:E2"/>
    <mergeCell ref="A42:E42"/>
    <mergeCell ref="A33:E33"/>
    <mergeCell ref="A5:E5"/>
    <mergeCell ref="A23:E23"/>
    <mergeCell ref="A32:E32"/>
    <mergeCell ref="A14:E14"/>
    <mergeCell ref="A8:E8"/>
    <mergeCell ref="A22:E22"/>
    <mergeCell ref="A17:E17"/>
    <mergeCell ref="A29:E29"/>
    <mergeCell ref="A4:E4"/>
    <mergeCell ref="A35:E35"/>
    <mergeCell ref="A20:E20"/>
    <mergeCell ref="A38:E38"/>
    <mergeCell ref="A10:E10"/>
    <mergeCell ref="A28:E28"/>
    <mergeCell ref="A19:E19"/>
    <mergeCell ref="A13:E13"/>
    <mergeCell ref="A31:E31"/>
    <mergeCell ref="A40:E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2026-01-28T15:52:45Z</dcterms:created>
  <dcterms:modified xmlns:dcterms="http://purl.org/dc/terms/" xmlns:xsi="http://www.w3.org/2001/XMLSchema-instance" xsi:type="dcterms:W3CDTF">2026-01-28T15:52:45Z</dcterms:modified>
</cp:coreProperties>
</file>